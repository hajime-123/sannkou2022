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eg.local\storage\3400-15G\Gyoumu\受渡\★村上さん\成約スタンプ\"/>
    </mc:Choice>
  </mc:AlternateContent>
  <xr:revisionPtr revIDLastSave="0" documentId="13_ncr:1_{CC171721-5060-4AE8-B5BE-59A756180F14}" xr6:coauthVersionLast="45" xr6:coauthVersionMax="45" xr10:uidLastSave="{00000000-0000-0000-0000-000000000000}"/>
  <bookViews>
    <workbookView xWindow="390" yWindow="390" windowWidth="23025" windowHeight="9825" xr2:uid="{AD15073A-6BEE-4AC0-854E-83C0689E5444}"/>
  </bookViews>
  <sheets>
    <sheet name="1" sheetId="1" r:id="rId1"/>
    <sheet name="2" sheetId="2" r:id="rId2"/>
    <sheet name="3" sheetId="3" r:id="rId3"/>
    <sheet name="4" sheetId="4" r:id="rId4"/>
    <sheet name="5" sheetId="5" r:id="rId5"/>
  </sheets>
  <definedNames>
    <definedName name="_xlnm.Print_Area" localSheetId="0">'1'!$A$1:$AJ$7</definedName>
    <definedName name="_xlnm.Print_Area" localSheetId="1">'2'!$A$1:$AJ$7</definedName>
    <definedName name="_xlnm.Print_Area" localSheetId="2">'3'!$A$1:$AJ$7</definedName>
    <definedName name="_xlnm.Print_Area" localSheetId="3">'4'!$A$1:$AJ$7</definedName>
    <definedName name="_xlnm.Print_Area" localSheetId="4">'5'!$A$1:$AJ$7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2" i="1" l="1"/>
  <c r="Z5" i="5" l="1"/>
  <c r="Z4" i="5"/>
  <c r="Z3" i="5"/>
  <c r="Z2" i="5"/>
  <c r="P2" i="5"/>
  <c r="F2" i="5"/>
  <c r="F4" i="4"/>
  <c r="F4" i="5"/>
  <c r="Z5" i="4"/>
  <c r="Z4" i="4"/>
  <c r="Z3" i="4"/>
  <c r="Z2" i="4"/>
  <c r="P2" i="4"/>
  <c r="F2" i="4"/>
  <c r="F4" i="3"/>
  <c r="Z5" i="3"/>
  <c r="Z4" i="3"/>
  <c r="Z3" i="3"/>
  <c r="Z2" i="3"/>
  <c r="P2" i="3"/>
  <c r="F2" i="3"/>
  <c r="P2" i="1" l="1"/>
  <c r="F4" i="1"/>
  <c r="Z5" i="1"/>
  <c r="Z4" i="1"/>
  <c r="Z3" i="1"/>
  <c r="Z5" i="2" l="1"/>
  <c r="Z4" i="2"/>
  <c r="Z3" i="2"/>
  <c r="Z2" i="2"/>
  <c r="F4" i="2"/>
  <c r="P2" i="2"/>
  <c r="F2" i="2"/>
  <c r="P5" i="5"/>
  <c r="M5" i="5"/>
  <c r="F5" i="5"/>
  <c r="P5" i="4"/>
  <c r="M5" i="4"/>
  <c r="F5" i="4"/>
  <c r="P5" i="3"/>
  <c r="M5" i="3"/>
  <c r="F5" i="3"/>
  <c r="P5" i="2"/>
  <c r="M5" i="2"/>
  <c r="F5" i="2"/>
  <c r="F2" i="1" l="1"/>
  <c r="P5" i="1" l="1"/>
  <c r="M5" i="1"/>
  <c r="F5" i="1"/>
</calcChain>
</file>

<file path=xl/sharedStrings.xml><?xml version="1.0" encoding="utf-8"?>
<sst xmlns="http://schemas.openxmlformats.org/spreadsheetml/2006/main" count="160" uniqueCount="31">
  <si>
    <t>成約物件内容連絡表</t>
    <rPh sb="0" eb="2">
      <t>セイヤク</t>
    </rPh>
    <rPh sb="2" eb="4">
      <t>ブッケン</t>
    </rPh>
    <rPh sb="4" eb="6">
      <t>ナイヨウ</t>
    </rPh>
    <rPh sb="6" eb="8">
      <t>レンラク</t>
    </rPh>
    <rPh sb="8" eb="9">
      <t>ヒョウ</t>
    </rPh>
    <phoneticPr fontId="3"/>
  </si>
  <si>
    <t>依頼先</t>
    <phoneticPr fontId="3"/>
  </si>
  <si>
    <t>：</t>
  </si>
  <si>
    <t>成約  NO</t>
    <phoneticPr fontId="3"/>
  </si>
  <si>
    <t>依頼元</t>
    <rPh sb="2" eb="3">
      <t>モト</t>
    </rPh>
    <phoneticPr fontId="3"/>
  </si>
  <si>
    <t>WBS NO</t>
    <phoneticPr fontId="3"/>
  </si>
  <si>
    <t>向け先</t>
    <phoneticPr fontId="3"/>
  </si>
  <si>
    <t>A/C  NO</t>
    <phoneticPr fontId="3"/>
  </si>
  <si>
    <t>依頼日</t>
    <rPh sb="2" eb="3">
      <t>ヒ</t>
    </rPh>
    <phoneticPr fontId="3"/>
  </si>
  <si>
    <t>年</t>
    <rPh sb="0" eb="1">
      <t>ネン</t>
    </rPh>
    <phoneticPr fontId="3"/>
  </si>
  <si>
    <t>月</t>
    <rPh sb="0" eb="1">
      <t>ガツ</t>
    </rPh>
    <phoneticPr fontId="3"/>
  </si>
  <si>
    <t>日</t>
    <phoneticPr fontId="3"/>
  </si>
  <si>
    <t>P.O.  NO</t>
    <phoneticPr fontId="3"/>
  </si>
  <si>
    <t>備        考</t>
    <rPh sb="0" eb="1">
      <t>ソナエ</t>
    </rPh>
    <rPh sb="9" eb="10">
      <t>コウ</t>
    </rPh>
    <phoneticPr fontId="3"/>
  </si>
  <si>
    <t xml:space="preserve">   非該当証明書 ・ カタログ ・ 図面 等</t>
    <phoneticPr fontId="3"/>
  </si>
  <si>
    <t>改        訂</t>
    <rPh sb="0" eb="1">
      <t>カイ</t>
    </rPh>
    <rPh sb="9" eb="10">
      <t>テイ</t>
    </rPh>
    <phoneticPr fontId="3"/>
  </si>
  <si>
    <t xml:space="preserve">   通関用資料をご準備下さい</t>
    <rPh sb="3" eb="5">
      <t>ツウカン</t>
    </rPh>
    <rPh sb="5" eb="6">
      <t>ヨウ</t>
    </rPh>
    <rPh sb="6" eb="8">
      <t>シリョウ</t>
    </rPh>
    <rPh sb="10" eb="12">
      <t>ジュンビ</t>
    </rPh>
    <rPh sb="12" eb="13">
      <t>クダ</t>
    </rPh>
    <phoneticPr fontId="3"/>
  </si>
  <si>
    <t>工務部 　</t>
    <rPh sb="0" eb="3">
      <t>コウムブ</t>
    </rPh>
    <phoneticPr fontId="3"/>
  </si>
  <si>
    <t>村上</t>
    <rPh sb="0" eb="2">
      <t>ムラカミ</t>
    </rPh>
    <phoneticPr fontId="3"/>
  </si>
  <si>
    <t>2021/7/13</t>
  </si>
  <si>
    <t>U21OT0512P</t>
  </si>
  <si>
    <t>321116205121723**</t>
  </si>
  <si>
    <t>10-951-1723-**</t>
  </si>
  <si>
    <t>EGX2101364-02-R01</t>
  </si>
  <si>
    <t>EGX</t>
  </si>
  <si>
    <t>PARTS FOR REPAIR OF EX6 FEEDER (Production Engineering Department：Forming)</t>
  </si>
  <si>
    <t>高：D・工・成</t>
  </si>
  <si>
    <t>金沢</t>
  </si>
  <si>
    <t>2022/6/6</t>
  </si>
  <si>
    <t>EGX2101364-03-R01</t>
  </si>
  <si>
    <t>U21OT0512P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</si>
</sst>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#"/>
    <numFmt numFmtId="177" formatCode="yyyy"/>
    <numFmt numFmtId="178" formatCode="m"/>
    <numFmt numFmtId="179" formatCode="d"/>
    <numFmt numFmtId="180" formatCode="&quot;様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Meiryo UI"/>
      <family val="3"/>
      <charset val="128"/>
    </font>
    <font>
      <b/>
      <sz val="15.5"/>
      <color rgb="FFFF0000"/>
      <name val="Meiryo UI"/>
      <family val="3"/>
      <charset val="128"/>
    </font>
    <font>
      <b/>
      <sz val="15.5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sz val="10"/>
      <name val="Meiryo UI"/>
      <family val="3"/>
      <charset val="128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Meiryo UI"/>
      <family val="3"/>
      <charset val="128"/>
    </font>
    <font>
      <sz val="10"/>
      <color theme="1"/>
      <name val="游ゴシック"/>
      <family val="3"/>
      <charset val="128"/>
      <scheme val="minor"/>
    </font>
    <font>
      <sz val="11"/>
      <color rgb="FFFF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FF99"/>
        <bgColor indexed="64"/>
      </patternFill>
    </fill>
  </fills>
  <borders count="17">
    <border>
      <left/>
      <right/>
      <top/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0" xfId="0" applyAlignment="1">
      <alignment vertical="center"/>
    </xf>
    <xf numFmtId="0" fontId="7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vertical="center" shrinkToFit="1"/>
    </xf>
    <xf numFmtId="0" fontId="11" fillId="2" borderId="2" xfId="0" applyFont="1" applyFill="1" applyBorder="1">
      <alignment vertical="center"/>
    </xf>
    <xf numFmtId="0" fontId="11" fillId="2" borderId="3" xfId="0" applyFont="1" applyFill="1" applyBorder="1">
      <alignment vertical="center"/>
    </xf>
    <xf numFmtId="0" fontId="7" fillId="2" borderId="6" xfId="0" applyFont="1" applyFill="1" applyBorder="1" applyAlignment="1">
      <alignment horizontal="center" vertical="center"/>
    </xf>
    <xf numFmtId="179" fontId="7" fillId="2" borderId="2" xfId="0" applyNumberFormat="1" applyFont="1" applyFill="1" applyBorder="1">
      <alignment vertical="center"/>
    </xf>
    <xf numFmtId="179" fontId="0" fillId="2" borderId="2" xfId="0" applyNumberFormat="1" applyFill="1" applyBorder="1">
      <alignment vertical="center"/>
    </xf>
    <xf numFmtId="0" fontId="7" fillId="2" borderId="7" xfId="0" applyFont="1" applyFill="1" applyBorder="1" applyAlignment="1">
      <alignment horizontal="right" vertical="center"/>
    </xf>
    <xf numFmtId="0" fontId="11" fillId="2" borderId="2" xfId="0" applyFont="1" applyFill="1" applyBorder="1">
      <alignment vertical="center"/>
    </xf>
    <xf numFmtId="179" fontId="0" fillId="2" borderId="2" xfId="0" applyNumberFormat="1" applyFill="1" applyBorder="1">
      <alignment vertical="center"/>
    </xf>
    <xf numFmtId="0" fontId="7" fillId="2" borderId="6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left" vertical="center"/>
    </xf>
    <xf numFmtId="176" fontId="12" fillId="0" borderId="0" xfId="0" applyNumberFormat="1" applyFon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76" fontId="4" fillId="2" borderId="13" xfId="0" applyNumberFormat="1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left" vertical="center"/>
    </xf>
    <xf numFmtId="0" fontId="7" fillId="2" borderId="16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distributed" vertical="center"/>
    </xf>
    <xf numFmtId="0" fontId="11" fillId="2" borderId="2" xfId="0" applyFont="1" applyFill="1" applyBorder="1">
      <alignment vertical="center"/>
    </xf>
    <xf numFmtId="177" fontId="8" fillId="2" borderId="2" xfId="0" applyNumberFormat="1" applyFont="1" applyFill="1" applyBorder="1" applyAlignment="1">
      <alignment horizontal="right" vertical="center"/>
    </xf>
    <xf numFmtId="178" fontId="10" fillId="2" borderId="2" xfId="0" applyNumberFormat="1" applyFont="1" applyFill="1" applyBorder="1">
      <alignment vertical="center"/>
    </xf>
    <xf numFmtId="178" fontId="0" fillId="2" borderId="2" xfId="0" applyNumberFormat="1" applyFill="1" applyBorder="1">
      <alignment vertical="center"/>
    </xf>
    <xf numFmtId="179" fontId="10" fillId="2" borderId="2" xfId="0" applyNumberFormat="1" applyFont="1" applyFill="1" applyBorder="1">
      <alignment vertical="center"/>
    </xf>
    <xf numFmtId="179" fontId="0" fillId="2" borderId="2" xfId="0" applyNumberForma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9" fillId="2" borderId="2" xfId="0" applyFont="1" applyFill="1" applyBorder="1">
      <alignment vertical="center"/>
    </xf>
    <xf numFmtId="0" fontId="4" fillId="2" borderId="2" xfId="0" quotePrefix="1" applyFont="1" applyFill="1" applyBorder="1" applyAlignment="1">
      <alignment horizontal="center" vertical="center" shrinkToFit="1"/>
    </xf>
    <xf numFmtId="0" fontId="4" fillId="2" borderId="3" xfId="0" quotePrefix="1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2" xfId="0" applyFont="1" applyFill="1" applyBorder="1">
      <alignment vertical="center"/>
    </xf>
    <xf numFmtId="0" fontId="6" fillId="2" borderId="3" xfId="0" applyFont="1" applyFill="1" applyBorder="1">
      <alignment vertical="center"/>
    </xf>
    <xf numFmtId="0" fontId="7" fillId="2" borderId="2" xfId="0" applyFont="1" applyFill="1" applyBorder="1" applyAlignment="1">
      <alignment horizontal="distributed" vertical="center"/>
    </xf>
    <xf numFmtId="176" fontId="8" fillId="2" borderId="2" xfId="0" applyNumberFormat="1" applyFont="1" applyFill="1" applyBorder="1" applyAlignment="1">
      <alignment horizontal="center" vertical="center" shrinkToFit="1"/>
    </xf>
    <xf numFmtId="0" fontId="8" fillId="2" borderId="2" xfId="0" applyFont="1" applyFill="1" applyBorder="1" applyAlignment="1">
      <alignment horizontal="center" vertical="center" shrinkToFit="1"/>
    </xf>
    <xf numFmtId="180" fontId="8" fillId="2" borderId="2" xfId="0" applyNumberFormat="1" applyFont="1" applyFill="1" applyBorder="1" applyAlignment="1">
      <alignment horizontal="left" vertical="center" shrinkToFi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distributed" vertical="center"/>
    </xf>
    <xf numFmtId="0" fontId="8" fillId="2" borderId="2" xfId="0" applyFont="1" applyFill="1" applyBorder="1" applyAlignment="1">
      <alignment horizontal="right" vertical="center"/>
    </xf>
    <xf numFmtId="176" fontId="10" fillId="2" borderId="2" xfId="0" applyNumberFormat="1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 shrinkToFit="1"/>
    </xf>
    <xf numFmtId="0" fontId="4" fillId="2" borderId="5" xfId="0" applyFont="1" applyFill="1" applyBorder="1" applyAlignment="1">
      <alignment horizontal="center" vertical="center" shrinkToFit="1"/>
    </xf>
    <xf numFmtId="0" fontId="8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38100</xdr:colOff>
      <xdr:row>4</xdr:row>
      <xdr:rowOff>200025</xdr:rowOff>
    </xdr:from>
    <xdr:to>
      <xdr:col>35</xdr:col>
      <xdr:colOff>479367</xdr:colOff>
      <xdr:row>6</xdr:row>
      <xdr:rowOff>190500</xdr:rowOff>
    </xdr:to>
    <xdr:pic>
      <xdr:nvPicPr>
        <xdr:cNvPr id="3" name="図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3324225"/>
          <a:ext cx="441267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19050</xdr:colOff>
      <xdr:row>7</xdr:row>
      <xdr:rowOff>38100</xdr:rowOff>
    </xdr:from>
    <xdr:to>
      <xdr:col>13</xdr:col>
      <xdr:colOff>114300</xdr:colOff>
      <xdr:row>7</xdr:row>
      <xdr:rowOff>219075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28675" y="1733550"/>
          <a:ext cx="1390650" cy="180975"/>
        </a:xfrm>
        <a:prstGeom prst="downArrow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142875</xdr:colOff>
      <xdr:row>13</xdr:row>
      <xdr:rowOff>38100</xdr:rowOff>
    </xdr:from>
    <xdr:to>
      <xdr:col>13</xdr:col>
      <xdr:colOff>76200</xdr:colOff>
      <xdr:row>13</xdr:row>
      <xdr:rowOff>219075</xdr:rowOff>
    </xdr:to>
    <xdr:sp macro="" textlink="">
      <xdr:nvSpPr>
        <xdr:cNvPr id="6" name="矢印: 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790575" y="3162300"/>
          <a:ext cx="1390650" cy="180975"/>
        </a:xfrm>
        <a:prstGeom prst="downArrow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9525</xdr:colOff>
      <xdr:row>15</xdr:row>
      <xdr:rowOff>142876</xdr:rowOff>
    </xdr:from>
    <xdr:to>
      <xdr:col>12</xdr:col>
      <xdr:colOff>142875</xdr:colOff>
      <xdr:row>18</xdr:row>
      <xdr:rowOff>38101</xdr:rowOff>
    </xdr:to>
    <xdr:sp macro="[0]!PDF保存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A22202A8-E046-41B7-A5FD-5812FA8E801A}"/>
            </a:ext>
          </a:extLst>
        </xdr:cNvPr>
        <xdr:cNvSpPr/>
      </xdr:nvSpPr>
      <xdr:spPr>
        <a:xfrm>
          <a:off x="981075" y="3743326"/>
          <a:ext cx="1104900" cy="609600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 b="1">
              <a:solidFill>
                <a:schemeClr val="bg1"/>
              </a:solidFill>
            </a:rPr>
            <a:t>PDF</a:t>
          </a:r>
          <a:r>
            <a:rPr kumimoji="1" lang="ja-JP" altLang="en-US" sz="1600" b="1">
              <a:solidFill>
                <a:schemeClr val="bg1"/>
              </a:solidFill>
            </a:rPr>
            <a:t>保存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38100</xdr:colOff>
      <xdr:row>4</xdr:row>
      <xdr:rowOff>200025</xdr:rowOff>
    </xdr:from>
    <xdr:to>
      <xdr:col>35</xdr:col>
      <xdr:colOff>479367</xdr:colOff>
      <xdr:row>6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1181100"/>
          <a:ext cx="441267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38100</xdr:colOff>
      <xdr:row>4</xdr:row>
      <xdr:rowOff>200025</xdr:rowOff>
    </xdr:from>
    <xdr:to>
      <xdr:col>35</xdr:col>
      <xdr:colOff>479367</xdr:colOff>
      <xdr:row>6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1181100"/>
          <a:ext cx="441267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38100</xdr:colOff>
      <xdr:row>4</xdr:row>
      <xdr:rowOff>200025</xdr:rowOff>
    </xdr:from>
    <xdr:to>
      <xdr:col>35</xdr:col>
      <xdr:colOff>479367</xdr:colOff>
      <xdr:row>6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1181100"/>
          <a:ext cx="441267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38100</xdr:colOff>
      <xdr:row>4</xdr:row>
      <xdr:rowOff>200025</xdr:rowOff>
    </xdr:from>
    <xdr:to>
      <xdr:col>35</xdr:col>
      <xdr:colOff>479367</xdr:colOff>
      <xdr:row>6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1181100"/>
          <a:ext cx="441267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67833-9D7A-4122-A2F3-29518F6E738C}">
  <sheetPr codeName="Sheet1"/>
  <dimension ref="A1:AI18"/>
  <sheetViews>
    <sheetView tabSelected="1" zoomScale="85" zoomScaleNormal="85" workbookViewId="0">
      <selection activeCell="B9" sqref="B9"/>
    </sheetView>
  </sheetViews>
  <sheetFormatPr defaultRowHeight="18.75" x14ac:dyDescent="0.4"/>
  <cols>
    <col min="1" max="19" width="2.125" customWidth="1"/>
    <col min="20" max="20" width="2" customWidth="1"/>
    <col min="21" max="35" width="2.125" customWidth="1"/>
    <col min="36" max="36" width="6.5" customWidth="1"/>
  </cols>
  <sheetData>
    <row r="1" spans="1:35" ht="21" x14ac:dyDescent="0.4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1"/>
    </row>
    <row r="2" spans="1:35" x14ac:dyDescent="0.4">
      <c r="A2" s="25" t="s">
        <v>1</v>
      </c>
      <c r="B2" s="52"/>
      <c r="C2" s="52"/>
      <c r="D2" s="52"/>
      <c r="E2" s="2" t="s">
        <v>2</v>
      </c>
      <c r="F2" s="53" t="str">
        <f>M9</f>
        <v>高：D・工・成</v>
      </c>
      <c r="G2" s="54"/>
      <c r="H2" s="54"/>
      <c r="I2" s="54"/>
      <c r="J2" s="54"/>
      <c r="K2" s="54"/>
      <c r="L2" s="54"/>
      <c r="M2" s="54"/>
      <c r="N2" s="54"/>
      <c r="O2" s="54"/>
      <c r="P2" s="55" t="str">
        <f>N9&amp;"様"</f>
        <v>金沢様</v>
      </c>
      <c r="Q2" s="55"/>
      <c r="R2" s="55"/>
      <c r="S2" s="55"/>
      <c r="T2" s="3"/>
      <c r="U2" s="32" t="s">
        <v>3</v>
      </c>
      <c r="V2" s="45"/>
      <c r="W2" s="45"/>
      <c r="X2" s="45"/>
      <c r="Y2" s="2" t="s">
        <v>2</v>
      </c>
      <c r="Z2" s="56" t="str">
        <f>B9</f>
        <v>U21OT0512P</v>
      </c>
      <c r="AA2" s="56"/>
      <c r="AB2" s="56"/>
      <c r="AC2" s="56"/>
      <c r="AD2" s="56"/>
      <c r="AE2" s="56"/>
      <c r="AF2" s="56"/>
      <c r="AG2" s="56"/>
      <c r="AH2" s="56"/>
      <c r="AI2" s="57"/>
    </row>
    <row r="3" spans="1:35" x14ac:dyDescent="0.4">
      <c r="A3" s="25" t="s">
        <v>4</v>
      </c>
      <c r="B3" s="58"/>
      <c r="C3" s="58"/>
      <c r="D3" s="58"/>
      <c r="E3" s="2" t="s">
        <v>2</v>
      </c>
      <c r="F3" s="59" t="s">
        <v>17</v>
      </c>
      <c r="G3" s="59"/>
      <c r="H3" s="59"/>
      <c r="I3" s="59"/>
      <c r="J3" s="59"/>
      <c r="K3" s="59"/>
      <c r="L3" s="59"/>
      <c r="M3" s="59"/>
      <c r="N3" s="59"/>
      <c r="O3" s="59"/>
      <c r="P3" s="60" t="s">
        <v>18</v>
      </c>
      <c r="Q3" s="60"/>
      <c r="R3" s="4"/>
      <c r="S3" s="4"/>
      <c r="T3" s="5"/>
      <c r="U3" s="32" t="s">
        <v>5</v>
      </c>
      <c r="V3" s="45"/>
      <c r="W3" s="45"/>
      <c r="X3" s="45"/>
      <c r="Y3" s="2" t="s">
        <v>2</v>
      </c>
      <c r="Z3" s="46" t="str">
        <f>F9</f>
        <v>321116205121723**</v>
      </c>
      <c r="AA3" s="46"/>
      <c r="AB3" s="46"/>
      <c r="AC3" s="46"/>
      <c r="AD3" s="46"/>
      <c r="AE3" s="46"/>
      <c r="AF3" s="46"/>
      <c r="AG3" s="46"/>
      <c r="AH3" s="46"/>
      <c r="AI3" s="47"/>
    </row>
    <row r="4" spans="1:35" x14ac:dyDescent="0.4">
      <c r="A4" s="25" t="s">
        <v>6</v>
      </c>
      <c r="B4" s="58"/>
      <c r="C4" s="58"/>
      <c r="D4" s="58"/>
      <c r="E4" s="2" t="s">
        <v>2</v>
      </c>
      <c r="F4" s="63" t="str">
        <f>I9</f>
        <v>EGX</v>
      </c>
      <c r="G4" s="63"/>
      <c r="H4" s="63"/>
      <c r="I4" s="63"/>
      <c r="J4" s="63"/>
      <c r="K4" s="63"/>
      <c r="L4" s="63"/>
      <c r="M4" s="64"/>
      <c r="N4" s="64"/>
      <c r="O4" s="64"/>
      <c r="P4" s="64"/>
      <c r="Q4" s="64"/>
      <c r="R4" s="64"/>
      <c r="S4" s="64"/>
      <c r="T4" s="65"/>
      <c r="U4" s="32" t="s">
        <v>7</v>
      </c>
      <c r="V4" s="45"/>
      <c r="W4" s="45"/>
      <c r="X4" s="45"/>
      <c r="Y4" s="2" t="s">
        <v>2</v>
      </c>
      <c r="Z4" s="61" t="str">
        <f>G9</f>
        <v>10-951-1723-**</v>
      </c>
      <c r="AA4" s="61"/>
      <c r="AB4" s="61"/>
      <c r="AC4" s="61"/>
      <c r="AD4" s="61"/>
      <c r="AE4" s="61"/>
      <c r="AF4" s="61"/>
      <c r="AG4" s="61"/>
      <c r="AH4" s="61"/>
      <c r="AI4" s="62"/>
    </row>
    <row r="5" spans="1:35" x14ac:dyDescent="0.4">
      <c r="A5" s="25" t="s">
        <v>8</v>
      </c>
      <c r="B5" s="26"/>
      <c r="C5" s="26"/>
      <c r="D5" s="26"/>
      <c r="E5" s="2" t="s">
        <v>2</v>
      </c>
      <c r="F5" s="27">
        <f ca="1">TODAY()</f>
        <v>44694</v>
      </c>
      <c r="G5" s="27"/>
      <c r="H5" s="27"/>
      <c r="I5" s="27"/>
      <c r="J5" s="27"/>
      <c r="K5" s="27"/>
      <c r="L5" s="6" t="s">
        <v>9</v>
      </c>
      <c r="M5" s="28">
        <f ca="1">TODAY()</f>
        <v>44694</v>
      </c>
      <c r="N5" s="29"/>
      <c r="O5" s="6" t="s">
        <v>10</v>
      </c>
      <c r="P5" s="30">
        <f ca="1">TODAY()</f>
        <v>44694</v>
      </c>
      <c r="Q5" s="31"/>
      <c r="R5" s="7" t="s">
        <v>11</v>
      </c>
      <c r="S5" s="8"/>
      <c r="T5" s="9"/>
      <c r="U5" s="32" t="s">
        <v>12</v>
      </c>
      <c r="V5" s="33"/>
      <c r="W5" s="33"/>
      <c r="X5" s="33"/>
      <c r="Y5" s="2" t="s">
        <v>2</v>
      </c>
      <c r="Z5" s="34" t="str">
        <f>H9</f>
        <v>EGX2101364-02-R01</v>
      </c>
      <c r="AA5" s="35"/>
      <c r="AB5" s="35"/>
      <c r="AC5" s="35"/>
      <c r="AD5" s="35"/>
      <c r="AE5" s="35"/>
      <c r="AF5" s="35"/>
      <c r="AG5" s="35"/>
      <c r="AH5" s="35"/>
      <c r="AI5" s="36"/>
    </row>
    <row r="6" spans="1:35" x14ac:dyDescent="0.4">
      <c r="A6" s="37" t="s">
        <v>13</v>
      </c>
      <c r="B6" s="38"/>
      <c r="C6" s="38"/>
      <c r="D6" s="38"/>
      <c r="E6" s="38" t="s">
        <v>2</v>
      </c>
      <c r="F6" s="41" t="s">
        <v>14</v>
      </c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3" t="s">
        <v>15</v>
      </c>
      <c r="V6" s="43"/>
      <c r="W6" s="43"/>
      <c r="X6" s="37"/>
      <c r="Y6" s="38" t="s">
        <v>2</v>
      </c>
      <c r="Z6" s="19"/>
      <c r="AA6" s="20"/>
      <c r="AB6" s="20"/>
      <c r="AC6" s="20"/>
      <c r="AD6" s="20"/>
      <c r="AE6" s="20"/>
      <c r="AF6" s="20"/>
      <c r="AG6" s="20"/>
      <c r="AH6" s="20"/>
      <c r="AI6" s="20"/>
    </row>
    <row r="7" spans="1:35" x14ac:dyDescent="0.4">
      <c r="A7" s="39"/>
      <c r="B7" s="40"/>
      <c r="C7" s="40"/>
      <c r="D7" s="40"/>
      <c r="E7" s="40"/>
      <c r="F7" s="23" t="s">
        <v>16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44"/>
      <c r="V7" s="44"/>
      <c r="W7" s="44"/>
      <c r="X7" s="39"/>
      <c r="Y7" s="40"/>
      <c r="Z7" s="21"/>
      <c r="AA7" s="22"/>
      <c r="AB7" s="22"/>
      <c r="AC7" s="22"/>
      <c r="AD7" s="22"/>
      <c r="AE7" s="22"/>
      <c r="AF7" s="22"/>
      <c r="AG7" s="22"/>
      <c r="AH7" s="22"/>
      <c r="AI7" s="22"/>
    </row>
    <row r="8" spans="1:35" x14ac:dyDescent="0.4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35" x14ac:dyDescent="0.4">
      <c r="A9" s="15" t="s">
        <v>19</v>
      </c>
      <c r="B9" t="s">
        <v>30</v>
      </c>
      <c r="E9" s="16"/>
      <c r="F9" t="s">
        <v>21</v>
      </c>
      <c r="G9" t="s">
        <v>22</v>
      </c>
      <c r="H9" t="s">
        <v>23</v>
      </c>
      <c r="I9" t="s">
        <v>24</v>
      </c>
      <c r="J9" t="s">
        <v>25</v>
      </c>
      <c r="K9">
        <v>0</v>
      </c>
      <c r="L9">
        <v>10234700</v>
      </c>
      <c r="M9" s="17" t="s">
        <v>26</v>
      </c>
      <c r="N9" s="17" t="s">
        <v>27</v>
      </c>
      <c r="O9" s="17"/>
      <c r="P9" s="17"/>
      <c r="Q9" s="17"/>
      <c r="R9" s="17" t="s">
        <v>28</v>
      </c>
      <c r="S9" s="18"/>
      <c r="T9" s="17"/>
      <c r="U9" s="17"/>
      <c r="V9" s="17"/>
      <c r="W9" s="17"/>
      <c r="X9" s="17"/>
      <c r="Y9" s="17"/>
    </row>
    <row r="10" spans="1:35" x14ac:dyDescent="0.4">
      <c r="A10" s="15" t="s">
        <v>19</v>
      </c>
      <c r="B10" t="s">
        <v>20</v>
      </c>
      <c r="E10" s="16"/>
      <c r="F10" t="s">
        <v>21</v>
      </c>
      <c r="G10" t="s">
        <v>22</v>
      </c>
      <c r="H10" t="s">
        <v>29</v>
      </c>
      <c r="I10" t="s">
        <v>24</v>
      </c>
      <c r="J10" t="s">
        <v>25</v>
      </c>
      <c r="K10">
        <v>0</v>
      </c>
      <c r="L10">
        <v>6200000</v>
      </c>
      <c r="M10" s="17" t="s">
        <v>26</v>
      </c>
      <c r="N10" s="17" t="s">
        <v>27</v>
      </c>
      <c r="O10" s="17"/>
      <c r="P10" s="17"/>
      <c r="Q10" s="17"/>
      <c r="R10" s="17" t="s">
        <v>28</v>
      </c>
      <c r="S10" s="18"/>
      <c r="T10" s="17"/>
      <c r="U10" s="17"/>
      <c r="V10" s="17"/>
      <c r="W10" s="17"/>
      <c r="X10" s="17"/>
      <c r="Y10" s="17"/>
    </row>
    <row r="11" spans="1:35" x14ac:dyDescent="0.4">
      <c r="A11" s="15"/>
      <c r="E11" s="16"/>
      <c r="M11" s="17"/>
      <c r="N11" s="17"/>
      <c r="O11" s="17"/>
      <c r="P11" s="17"/>
      <c r="Q11" s="17"/>
      <c r="R11" s="17"/>
      <c r="S11" s="18"/>
      <c r="T11" s="17"/>
      <c r="U11" s="17"/>
      <c r="V11" s="17"/>
      <c r="W11" s="17"/>
      <c r="X11" s="17"/>
      <c r="Y11" s="17"/>
    </row>
    <row r="12" spans="1:35" x14ac:dyDescent="0.4">
      <c r="A12" s="15"/>
      <c r="E12" s="16"/>
      <c r="M12" s="17"/>
      <c r="N12" s="17"/>
      <c r="O12" s="17"/>
      <c r="P12" s="17"/>
      <c r="Q12" s="17"/>
      <c r="R12" s="17"/>
      <c r="S12" s="18"/>
      <c r="T12" s="17"/>
      <c r="U12" s="17"/>
      <c r="V12" s="17"/>
      <c r="W12" s="17"/>
      <c r="X12" s="17"/>
      <c r="Y12" s="17"/>
    </row>
    <row r="13" spans="1:35" ht="29.25" customHeight="1" x14ac:dyDescent="0.4">
      <c r="A13" s="15"/>
      <c r="E13" s="16"/>
      <c r="M13" s="17"/>
      <c r="N13" s="17"/>
      <c r="O13" s="17"/>
      <c r="P13" s="17"/>
      <c r="Q13" s="17"/>
      <c r="R13" s="17"/>
      <c r="S13" s="18"/>
      <c r="T13" s="17"/>
      <c r="U13" s="17"/>
      <c r="V13" s="17"/>
      <c r="W13" s="17"/>
      <c r="X13" s="17"/>
      <c r="Y13" s="17"/>
    </row>
    <row r="14" spans="1:35" x14ac:dyDescent="0.4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8" spans="31:31" x14ac:dyDescent="0.4">
      <c r="AE18" s="1"/>
    </row>
  </sheetData>
  <mergeCells count="28">
    <mergeCell ref="U4:X4"/>
    <mergeCell ref="Z3:AI3"/>
    <mergeCell ref="A1:AI1"/>
    <mergeCell ref="A2:D2"/>
    <mergeCell ref="F2:O2"/>
    <mergeCell ref="P2:S2"/>
    <mergeCell ref="U2:X2"/>
    <mergeCell ref="Z2:AI2"/>
    <mergeCell ref="A3:D3"/>
    <mergeCell ref="F3:O3"/>
    <mergeCell ref="P3:Q3"/>
    <mergeCell ref="U3:X3"/>
    <mergeCell ref="Z4:AI4"/>
    <mergeCell ref="A4:D4"/>
    <mergeCell ref="F4:T4"/>
    <mergeCell ref="Z6:AI7"/>
    <mergeCell ref="F7:T7"/>
    <mergeCell ref="A5:D5"/>
    <mergeCell ref="F5:K5"/>
    <mergeCell ref="M5:N5"/>
    <mergeCell ref="P5:Q5"/>
    <mergeCell ref="U5:X5"/>
    <mergeCell ref="Z5:AI5"/>
    <mergeCell ref="A6:D7"/>
    <mergeCell ref="E6:E7"/>
    <mergeCell ref="F6:T6"/>
    <mergeCell ref="U6:X7"/>
    <mergeCell ref="Y6:Y7"/>
  </mergeCells>
  <phoneticPr fontId="2"/>
  <pageMargins left="0.7" right="0.7" top="0.75" bottom="0.75" header="0.3" footer="0.3"/>
  <pageSetup paperSize="9" orientation="portrait" horizontalDpi="4294967294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5057F-B3EA-4437-90BB-4E4EC51EA8F9}">
  <sheetPr codeName="Sheet2"/>
  <dimension ref="A1:AI18"/>
  <sheetViews>
    <sheetView workbookViewId="0">
      <selection activeCell="Z6" sqref="Z6:AI7"/>
    </sheetView>
  </sheetViews>
  <sheetFormatPr defaultRowHeight="18.75" x14ac:dyDescent="0.4"/>
  <cols>
    <col min="1" max="19" width="2.125" customWidth="1"/>
    <col min="20" max="20" width="2" customWidth="1"/>
    <col min="21" max="35" width="2.125" customWidth="1"/>
    <col min="36" max="36" width="6.5" customWidth="1"/>
  </cols>
  <sheetData>
    <row r="1" spans="1:35" ht="21" x14ac:dyDescent="0.4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1"/>
    </row>
    <row r="2" spans="1:35" x14ac:dyDescent="0.4">
      <c r="A2" s="25" t="s">
        <v>1</v>
      </c>
      <c r="B2" s="52"/>
      <c r="C2" s="52"/>
      <c r="D2" s="52"/>
      <c r="E2" s="2" t="s">
        <v>2</v>
      </c>
      <c r="F2" s="53" t="str">
        <f>'1'!M10</f>
        <v>高：D・工・成</v>
      </c>
      <c r="G2" s="54"/>
      <c r="H2" s="54"/>
      <c r="I2" s="54"/>
      <c r="J2" s="54"/>
      <c r="K2" s="54"/>
      <c r="L2" s="54"/>
      <c r="M2" s="54"/>
      <c r="N2" s="54"/>
      <c r="O2" s="54"/>
      <c r="P2" s="55" t="str">
        <f>'1'!N10&amp;"様"</f>
        <v>金沢様</v>
      </c>
      <c r="Q2" s="55"/>
      <c r="R2" s="55"/>
      <c r="S2" s="55"/>
      <c r="T2" s="3"/>
      <c r="U2" s="32" t="s">
        <v>3</v>
      </c>
      <c r="V2" s="45"/>
      <c r="W2" s="45"/>
      <c r="X2" s="45"/>
      <c r="Y2" s="2" t="s">
        <v>2</v>
      </c>
      <c r="Z2" s="56" t="str">
        <f>'1'!B10</f>
        <v>U21OT0512P</v>
      </c>
      <c r="AA2" s="56"/>
      <c r="AB2" s="56"/>
      <c r="AC2" s="56"/>
      <c r="AD2" s="56"/>
      <c r="AE2" s="56"/>
      <c r="AF2" s="56"/>
      <c r="AG2" s="56"/>
      <c r="AH2" s="56"/>
      <c r="AI2" s="57"/>
    </row>
    <row r="3" spans="1:35" x14ac:dyDescent="0.4">
      <c r="A3" s="25" t="s">
        <v>4</v>
      </c>
      <c r="B3" s="58"/>
      <c r="C3" s="58"/>
      <c r="D3" s="58"/>
      <c r="E3" s="2" t="s">
        <v>2</v>
      </c>
      <c r="F3" s="59" t="s">
        <v>17</v>
      </c>
      <c r="G3" s="59"/>
      <c r="H3" s="59"/>
      <c r="I3" s="59"/>
      <c r="J3" s="59"/>
      <c r="K3" s="59"/>
      <c r="L3" s="59"/>
      <c r="M3" s="59"/>
      <c r="N3" s="59"/>
      <c r="O3" s="59"/>
      <c r="P3" s="60" t="s">
        <v>18</v>
      </c>
      <c r="Q3" s="60"/>
      <c r="R3" s="10"/>
      <c r="S3" s="10"/>
      <c r="T3" s="5"/>
      <c r="U3" s="32" t="s">
        <v>5</v>
      </c>
      <c r="V3" s="45"/>
      <c r="W3" s="45"/>
      <c r="X3" s="45"/>
      <c r="Y3" s="2" t="s">
        <v>2</v>
      </c>
      <c r="Z3" s="46" t="str">
        <f>'1'!F10</f>
        <v>321116205121723**</v>
      </c>
      <c r="AA3" s="46"/>
      <c r="AB3" s="46"/>
      <c r="AC3" s="46"/>
      <c r="AD3" s="46"/>
      <c r="AE3" s="46"/>
      <c r="AF3" s="46"/>
      <c r="AG3" s="46"/>
      <c r="AH3" s="46"/>
      <c r="AI3" s="47"/>
    </row>
    <row r="4" spans="1:35" x14ac:dyDescent="0.4">
      <c r="A4" s="25" t="s">
        <v>6</v>
      </c>
      <c r="B4" s="58"/>
      <c r="C4" s="58"/>
      <c r="D4" s="58"/>
      <c r="E4" s="2" t="s">
        <v>2</v>
      </c>
      <c r="F4" s="63" t="str">
        <f>'1'!I10</f>
        <v>EGX</v>
      </c>
      <c r="G4" s="63"/>
      <c r="H4" s="63"/>
      <c r="I4" s="63"/>
      <c r="J4" s="63"/>
      <c r="K4" s="63"/>
      <c r="L4" s="63"/>
      <c r="M4" s="64"/>
      <c r="N4" s="64"/>
      <c r="O4" s="64"/>
      <c r="P4" s="64"/>
      <c r="Q4" s="64"/>
      <c r="R4" s="64"/>
      <c r="S4" s="64"/>
      <c r="T4" s="65"/>
      <c r="U4" s="32" t="s">
        <v>7</v>
      </c>
      <c r="V4" s="45"/>
      <c r="W4" s="45"/>
      <c r="X4" s="45"/>
      <c r="Y4" s="2" t="s">
        <v>2</v>
      </c>
      <c r="Z4" s="61" t="str">
        <f>'1'!G10</f>
        <v>10-951-1723-**</v>
      </c>
      <c r="AA4" s="61"/>
      <c r="AB4" s="61"/>
      <c r="AC4" s="61"/>
      <c r="AD4" s="61"/>
      <c r="AE4" s="61"/>
      <c r="AF4" s="61"/>
      <c r="AG4" s="61"/>
      <c r="AH4" s="61"/>
      <c r="AI4" s="62"/>
    </row>
    <row r="5" spans="1:35" x14ac:dyDescent="0.4">
      <c r="A5" s="25" t="s">
        <v>8</v>
      </c>
      <c r="B5" s="26"/>
      <c r="C5" s="26"/>
      <c r="D5" s="26"/>
      <c r="E5" s="2" t="s">
        <v>2</v>
      </c>
      <c r="F5" s="27">
        <f ca="1">TODAY()</f>
        <v>44694</v>
      </c>
      <c r="G5" s="27"/>
      <c r="H5" s="27"/>
      <c r="I5" s="27"/>
      <c r="J5" s="27"/>
      <c r="K5" s="27"/>
      <c r="L5" s="12" t="s">
        <v>9</v>
      </c>
      <c r="M5" s="28">
        <f ca="1">TODAY()</f>
        <v>44694</v>
      </c>
      <c r="N5" s="29"/>
      <c r="O5" s="12" t="s">
        <v>10</v>
      </c>
      <c r="P5" s="30">
        <f ca="1">TODAY()</f>
        <v>44694</v>
      </c>
      <c r="Q5" s="31"/>
      <c r="R5" s="7" t="s">
        <v>11</v>
      </c>
      <c r="S5" s="11"/>
      <c r="T5" s="9"/>
      <c r="U5" s="32" t="s">
        <v>12</v>
      </c>
      <c r="V5" s="33"/>
      <c r="W5" s="33"/>
      <c r="X5" s="33"/>
      <c r="Y5" s="2" t="s">
        <v>2</v>
      </c>
      <c r="Z5" s="34" t="str">
        <f>'1'!H10</f>
        <v>EGX2101364-03-R01</v>
      </c>
      <c r="AA5" s="35"/>
      <c r="AB5" s="35"/>
      <c r="AC5" s="35"/>
      <c r="AD5" s="35"/>
      <c r="AE5" s="35"/>
      <c r="AF5" s="35"/>
      <c r="AG5" s="35"/>
      <c r="AH5" s="35"/>
      <c r="AI5" s="36"/>
    </row>
    <row r="6" spans="1:35" x14ac:dyDescent="0.4">
      <c r="A6" s="37" t="s">
        <v>13</v>
      </c>
      <c r="B6" s="38"/>
      <c r="C6" s="38"/>
      <c r="D6" s="38"/>
      <c r="E6" s="38" t="s">
        <v>2</v>
      </c>
      <c r="F6" s="41" t="s">
        <v>14</v>
      </c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3" t="s">
        <v>15</v>
      </c>
      <c r="V6" s="43"/>
      <c r="W6" s="43"/>
      <c r="X6" s="37"/>
      <c r="Y6" s="38" t="s">
        <v>2</v>
      </c>
      <c r="Z6" s="19"/>
      <c r="AA6" s="20"/>
      <c r="AB6" s="20"/>
      <c r="AC6" s="20"/>
      <c r="AD6" s="20"/>
      <c r="AE6" s="20"/>
      <c r="AF6" s="20"/>
      <c r="AG6" s="20"/>
      <c r="AH6" s="20"/>
      <c r="AI6" s="20"/>
    </row>
    <row r="7" spans="1:35" x14ac:dyDescent="0.4">
      <c r="A7" s="39"/>
      <c r="B7" s="40"/>
      <c r="C7" s="40"/>
      <c r="D7" s="40"/>
      <c r="E7" s="40"/>
      <c r="F7" s="23" t="s">
        <v>16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44"/>
      <c r="V7" s="44"/>
      <c r="W7" s="44"/>
      <c r="X7" s="39"/>
      <c r="Y7" s="40"/>
      <c r="Z7" s="21"/>
      <c r="AA7" s="22"/>
      <c r="AB7" s="22"/>
      <c r="AC7" s="22"/>
      <c r="AD7" s="22"/>
      <c r="AE7" s="22"/>
      <c r="AF7" s="22"/>
      <c r="AG7" s="22"/>
      <c r="AH7" s="22"/>
      <c r="AI7" s="22"/>
    </row>
    <row r="8" spans="1:35" s="14" customFormat="1" x14ac:dyDescent="0.4"/>
    <row r="9" spans="1:35" s="14" customFormat="1" x14ac:dyDescent="0.4"/>
    <row r="10" spans="1:35" s="14" customFormat="1" x14ac:dyDescent="0.4"/>
    <row r="11" spans="1:35" s="14" customFormat="1" x14ac:dyDescent="0.4"/>
    <row r="12" spans="1:35" s="14" customFormat="1" x14ac:dyDescent="0.4"/>
    <row r="13" spans="1:35" s="14" customFormat="1" x14ac:dyDescent="0.4"/>
    <row r="14" spans="1:35" s="14" customFormat="1" x14ac:dyDescent="0.4"/>
    <row r="15" spans="1:35" s="14" customFormat="1" x14ac:dyDescent="0.4"/>
    <row r="18" spans="31:31" x14ac:dyDescent="0.4">
      <c r="AE18" s="1"/>
    </row>
  </sheetData>
  <mergeCells count="28">
    <mergeCell ref="Z6:AI7"/>
    <mergeCell ref="F7:T7"/>
    <mergeCell ref="A5:D5"/>
    <mergeCell ref="F5:K5"/>
    <mergeCell ref="M5:N5"/>
    <mergeCell ref="P5:Q5"/>
    <mergeCell ref="U5:X5"/>
    <mergeCell ref="Z5:AI5"/>
    <mergeCell ref="A6:D7"/>
    <mergeCell ref="E6:E7"/>
    <mergeCell ref="F6:T6"/>
    <mergeCell ref="U6:X7"/>
    <mergeCell ref="Y6:Y7"/>
    <mergeCell ref="A4:D4"/>
    <mergeCell ref="F4:T4"/>
    <mergeCell ref="U4:X4"/>
    <mergeCell ref="Z4:AI4"/>
    <mergeCell ref="A1:AI1"/>
    <mergeCell ref="A2:D2"/>
    <mergeCell ref="F2:O2"/>
    <mergeCell ref="P2:S2"/>
    <mergeCell ref="U2:X2"/>
    <mergeCell ref="Z2:AI2"/>
    <mergeCell ref="A3:D3"/>
    <mergeCell ref="F3:O3"/>
    <mergeCell ref="P3:Q3"/>
    <mergeCell ref="U3:X3"/>
    <mergeCell ref="Z3:AI3"/>
  </mergeCells>
  <phoneticPr fontId="2"/>
  <pageMargins left="0.7" right="0.7" top="0.75" bottom="0.75" header="0.3" footer="0.3"/>
  <pageSetup paperSize="9" orientation="portrait" horizontalDpi="4294967294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B8DBA-2339-43A4-96D5-F059977F5038}">
  <sheetPr codeName="Sheet3"/>
  <dimension ref="A1:AI18"/>
  <sheetViews>
    <sheetView workbookViewId="0">
      <selection activeCell="F3" sqref="F3:Q3"/>
    </sheetView>
  </sheetViews>
  <sheetFormatPr defaultRowHeight="18.75" x14ac:dyDescent="0.4"/>
  <cols>
    <col min="1" max="19" width="2.125" customWidth="1"/>
    <col min="20" max="20" width="2" customWidth="1"/>
    <col min="21" max="35" width="2.125" customWidth="1"/>
    <col min="36" max="36" width="6.5" customWidth="1"/>
  </cols>
  <sheetData>
    <row r="1" spans="1:35" ht="21" x14ac:dyDescent="0.4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1"/>
    </row>
    <row r="2" spans="1:35" x14ac:dyDescent="0.4">
      <c r="A2" s="25" t="s">
        <v>1</v>
      </c>
      <c r="B2" s="52"/>
      <c r="C2" s="52"/>
      <c r="D2" s="52"/>
      <c r="E2" s="2" t="s">
        <v>2</v>
      </c>
      <c r="F2" s="53">
        <f>'1'!M11</f>
        <v>0</v>
      </c>
      <c r="G2" s="54"/>
      <c r="H2" s="54"/>
      <c r="I2" s="54"/>
      <c r="J2" s="54"/>
      <c r="K2" s="54"/>
      <c r="L2" s="54"/>
      <c r="M2" s="54"/>
      <c r="N2" s="54"/>
      <c r="O2" s="54"/>
      <c r="P2" s="55" t="str">
        <f>'1'!N11&amp;"様"</f>
        <v>様</v>
      </c>
      <c r="Q2" s="55"/>
      <c r="R2" s="55"/>
      <c r="S2" s="55"/>
      <c r="T2" s="3"/>
      <c r="U2" s="32" t="s">
        <v>3</v>
      </c>
      <c r="V2" s="45"/>
      <c r="W2" s="45"/>
      <c r="X2" s="45"/>
      <c r="Y2" s="2" t="s">
        <v>2</v>
      </c>
      <c r="Z2" s="56">
        <f>'1'!B11</f>
        <v>0</v>
      </c>
      <c r="AA2" s="56"/>
      <c r="AB2" s="56"/>
      <c r="AC2" s="56"/>
      <c r="AD2" s="56"/>
      <c r="AE2" s="56"/>
      <c r="AF2" s="56"/>
      <c r="AG2" s="56"/>
      <c r="AH2" s="56"/>
      <c r="AI2" s="57"/>
    </row>
    <row r="3" spans="1:35" x14ac:dyDescent="0.4">
      <c r="A3" s="25" t="s">
        <v>4</v>
      </c>
      <c r="B3" s="58"/>
      <c r="C3" s="58"/>
      <c r="D3" s="58"/>
      <c r="E3" s="2" t="s">
        <v>2</v>
      </c>
      <c r="F3" s="59" t="s">
        <v>17</v>
      </c>
      <c r="G3" s="59"/>
      <c r="H3" s="59"/>
      <c r="I3" s="59"/>
      <c r="J3" s="59"/>
      <c r="K3" s="59"/>
      <c r="L3" s="59"/>
      <c r="M3" s="59"/>
      <c r="N3" s="59"/>
      <c r="O3" s="59"/>
      <c r="P3" s="60" t="s">
        <v>18</v>
      </c>
      <c r="Q3" s="60"/>
      <c r="R3" s="10"/>
      <c r="S3" s="10"/>
      <c r="T3" s="5"/>
      <c r="U3" s="32" t="s">
        <v>5</v>
      </c>
      <c r="V3" s="45"/>
      <c r="W3" s="45"/>
      <c r="X3" s="45"/>
      <c r="Y3" s="2" t="s">
        <v>2</v>
      </c>
      <c r="Z3" s="46">
        <f>'1'!F11</f>
        <v>0</v>
      </c>
      <c r="AA3" s="46"/>
      <c r="AB3" s="46"/>
      <c r="AC3" s="46"/>
      <c r="AD3" s="46"/>
      <c r="AE3" s="46"/>
      <c r="AF3" s="46"/>
      <c r="AG3" s="46"/>
      <c r="AH3" s="46"/>
      <c r="AI3" s="47"/>
    </row>
    <row r="4" spans="1:35" x14ac:dyDescent="0.4">
      <c r="A4" s="25" t="s">
        <v>6</v>
      </c>
      <c r="B4" s="58"/>
      <c r="C4" s="58"/>
      <c r="D4" s="58"/>
      <c r="E4" s="2" t="s">
        <v>2</v>
      </c>
      <c r="F4" s="63">
        <f>'1'!I11</f>
        <v>0</v>
      </c>
      <c r="G4" s="63"/>
      <c r="H4" s="63"/>
      <c r="I4" s="63"/>
      <c r="J4" s="63"/>
      <c r="K4" s="63"/>
      <c r="L4" s="63"/>
      <c r="M4" s="64"/>
      <c r="N4" s="64"/>
      <c r="O4" s="64"/>
      <c r="P4" s="64"/>
      <c r="Q4" s="64"/>
      <c r="R4" s="64"/>
      <c r="S4" s="64"/>
      <c r="T4" s="65"/>
      <c r="U4" s="32" t="s">
        <v>7</v>
      </c>
      <c r="V4" s="45"/>
      <c r="W4" s="45"/>
      <c r="X4" s="45"/>
      <c r="Y4" s="2" t="s">
        <v>2</v>
      </c>
      <c r="Z4" s="61">
        <f>'1'!G11</f>
        <v>0</v>
      </c>
      <c r="AA4" s="61"/>
      <c r="AB4" s="61"/>
      <c r="AC4" s="61"/>
      <c r="AD4" s="61"/>
      <c r="AE4" s="61"/>
      <c r="AF4" s="61"/>
      <c r="AG4" s="61"/>
      <c r="AH4" s="61"/>
      <c r="AI4" s="62"/>
    </row>
    <row r="5" spans="1:35" x14ac:dyDescent="0.4">
      <c r="A5" s="25" t="s">
        <v>8</v>
      </c>
      <c r="B5" s="26"/>
      <c r="C5" s="26"/>
      <c r="D5" s="26"/>
      <c r="E5" s="2" t="s">
        <v>2</v>
      </c>
      <c r="F5" s="27">
        <f ca="1">TODAY()</f>
        <v>44694</v>
      </c>
      <c r="G5" s="27"/>
      <c r="H5" s="27"/>
      <c r="I5" s="27"/>
      <c r="J5" s="27"/>
      <c r="K5" s="27"/>
      <c r="L5" s="12" t="s">
        <v>9</v>
      </c>
      <c r="M5" s="28">
        <f ca="1">TODAY()</f>
        <v>44694</v>
      </c>
      <c r="N5" s="29"/>
      <c r="O5" s="12" t="s">
        <v>10</v>
      </c>
      <c r="P5" s="30">
        <f ca="1">TODAY()</f>
        <v>44694</v>
      </c>
      <c r="Q5" s="31"/>
      <c r="R5" s="7" t="s">
        <v>11</v>
      </c>
      <c r="S5" s="11"/>
      <c r="T5" s="9"/>
      <c r="U5" s="32" t="s">
        <v>12</v>
      </c>
      <c r="V5" s="33"/>
      <c r="W5" s="33"/>
      <c r="X5" s="33"/>
      <c r="Y5" s="2" t="s">
        <v>2</v>
      </c>
      <c r="Z5" s="34">
        <f>'1'!H11</f>
        <v>0</v>
      </c>
      <c r="AA5" s="35"/>
      <c r="AB5" s="35"/>
      <c r="AC5" s="35"/>
      <c r="AD5" s="35"/>
      <c r="AE5" s="35"/>
      <c r="AF5" s="35"/>
      <c r="AG5" s="35"/>
      <c r="AH5" s="35"/>
      <c r="AI5" s="36"/>
    </row>
    <row r="6" spans="1:35" x14ac:dyDescent="0.4">
      <c r="A6" s="37" t="s">
        <v>13</v>
      </c>
      <c r="B6" s="38"/>
      <c r="C6" s="38"/>
      <c r="D6" s="38"/>
      <c r="E6" s="38" t="s">
        <v>2</v>
      </c>
      <c r="F6" s="41" t="s">
        <v>14</v>
      </c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3" t="s">
        <v>15</v>
      </c>
      <c r="V6" s="43"/>
      <c r="W6" s="43"/>
      <c r="X6" s="37"/>
      <c r="Y6" s="38" t="s">
        <v>2</v>
      </c>
      <c r="Z6" s="19"/>
      <c r="AA6" s="20"/>
      <c r="AB6" s="20"/>
      <c r="AC6" s="20"/>
      <c r="AD6" s="20"/>
      <c r="AE6" s="20"/>
      <c r="AF6" s="20"/>
      <c r="AG6" s="20"/>
      <c r="AH6" s="20"/>
      <c r="AI6" s="20"/>
    </row>
    <row r="7" spans="1:35" x14ac:dyDescent="0.4">
      <c r="A7" s="39"/>
      <c r="B7" s="40"/>
      <c r="C7" s="40"/>
      <c r="D7" s="40"/>
      <c r="E7" s="40"/>
      <c r="F7" s="23" t="s">
        <v>16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44"/>
      <c r="V7" s="44"/>
      <c r="W7" s="44"/>
      <c r="X7" s="39"/>
      <c r="Y7" s="40"/>
      <c r="Z7" s="21"/>
      <c r="AA7" s="22"/>
      <c r="AB7" s="22"/>
      <c r="AC7" s="22"/>
      <c r="AD7" s="22"/>
      <c r="AE7" s="22"/>
      <c r="AF7" s="22"/>
      <c r="AG7" s="22"/>
      <c r="AH7" s="22"/>
      <c r="AI7" s="22"/>
    </row>
    <row r="8" spans="1:35" s="14" customFormat="1" x14ac:dyDescent="0.4"/>
    <row r="9" spans="1:35" s="14" customFormat="1" x14ac:dyDescent="0.4"/>
    <row r="10" spans="1:35" s="14" customFormat="1" x14ac:dyDescent="0.4"/>
    <row r="11" spans="1:35" s="14" customFormat="1" x14ac:dyDescent="0.4"/>
    <row r="12" spans="1:35" s="14" customFormat="1" x14ac:dyDescent="0.4"/>
    <row r="13" spans="1:35" s="14" customFormat="1" x14ac:dyDescent="0.4"/>
    <row r="14" spans="1:35" s="14" customFormat="1" x14ac:dyDescent="0.4"/>
    <row r="15" spans="1:35" s="14" customFormat="1" x14ac:dyDescent="0.4"/>
    <row r="18" spans="31:31" x14ac:dyDescent="0.4">
      <c r="AE18" s="1"/>
    </row>
  </sheetData>
  <mergeCells count="28">
    <mergeCell ref="Z6:AI7"/>
    <mergeCell ref="F7:T7"/>
    <mergeCell ref="A5:D5"/>
    <mergeCell ref="F5:K5"/>
    <mergeCell ref="M5:N5"/>
    <mergeCell ref="P5:Q5"/>
    <mergeCell ref="U5:X5"/>
    <mergeCell ref="Z5:AI5"/>
    <mergeCell ref="A6:D7"/>
    <mergeCell ref="E6:E7"/>
    <mergeCell ref="F6:T6"/>
    <mergeCell ref="U6:X7"/>
    <mergeCell ref="Y6:Y7"/>
    <mergeCell ref="A4:D4"/>
    <mergeCell ref="F4:T4"/>
    <mergeCell ref="U4:X4"/>
    <mergeCell ref="Z4:AI4"/>
    <mergeCell ref="A1:AI1"/>
    <mergeCell ref="A2:D2"/>
    <mergeCell ref="F2:O2"/>
    <mergeCell ref="P2:S2"/>
    <mergeCell ref="U2:X2"/>
    <mergeCell ref="Z2:AI2"/>
    <mergeCell ref="A3:D3"/>
    <mergeCell ref="F3:O3"/>
    <mergeCell ref="P3:Q3"/>
    <mergeCell ref="U3:X3"/>
    <mergeCell ref="Z3:AI3"/>
  </mergeCells>
  <phoneticPr fontId="2"/>
  <pageMargins left="0.7" right="0.7" top="0.75" bottom="0.75" header="0.3" footer="0.3"/>
  <pageSetup paperSize="9" orientation="portrait" horizontalDpi="4294967294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7E396-E842-4E46-9D63-A21A594DE4D6}">
  <sheetPr codeName="Sheet4"/>
  <dimension ref="A1:AI18"/>
  <sheetViews>
    <sheetView workbookViewId="0">
      <selection activeCell="F3" sqref="F3:Q3"/>
    </sheetView>
  </sheetViews>
  <sheetFormatPr defaultRowHeight="18.75" x14ac:dyDescent="0.4"/>
  <cols>
    <col min="1" max="19" width="2.125" customWidth="1"/>
    <col min="20" max="20" width="2" customWidth="1"/>
    <col min="21" max="35" width="2.125" customWidth="1"/>
    <col min="36" max="36" width="6.5" customWidth="1"/>
  </cols>
  <sheetData>
    <row r="1" spans="1:35" ht="21" x14ac:dyDescent="0.4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1"/>
    </row>
    <row r="2" spans="1:35" x14ac:dyDescent="0.4">
      <c r="A2" s="25" t="s">
        <v>1</v>
      </c>
      <c r="B2" s="52"/>
      <c r="C2" s="52"/>
      <c r="D2" s="52"/>
      <c r="E2" s="2" t="s">
        <v>2</v>
      </c>
      <c r="F2" s="53">
        <f>'1'!M12</f>
        <v>0</v>
      </c>
      <c r="G2" s="54"/>
      <c r="H2" s="54"/>
      <c r="I2" s="54"/>
      <c r="J2" s="54"/>
      <c r="K2" s="54"/>
      <c r="L2" s="54"/>
      <c r="M2" s="54"/>
      <c r="N2" s="54"/>
      <c r="O2" s="54"/>
      <c r="P2" s="55" t="str">
        <f>'1'!N12&amp;"様"</f>
        <v>様</v>
      </c>
      <c r="Q2" s="55"/>
      <c r="R2" s="55"/>
      <c r="S2" s="55"/>
      <c r="T2" s="3"/>
      <c r="U2" s="32" t="s">
        <v>3</v>
      </c>
      <c r="V2" s="45"/>
      <c r="W2" s="45"/>
      <c r="X2" s="45"/>
      <c r="Y2" s="2" t="s">
        <v>2</v>
      </c>
      <c r="Z2" s="56">
        <f>'1'!B12</f>
        <v>0</v>
      </c>
      <c r="AA2" s="56"/>
      <c r="AB2" s="56"/>
      <c r="AC2" s="56"/>
      <c r="AD2" s="56"/>
      <c r="AE2" s="56"/>
      <c r="AF2" s="56"/>
      <c r="AG2" s="56"/>
      <c r="AH2" s="56"/>
      <c r="AI2" s="57"/>
    </row>
    <row r="3" spans="1:35" x14ac:dyDescent="0.4">
      <c r="A3" s="25" t="s">
        <v>4</v>
      </c>
      <c r="B3" s="58"/>
      <c r="C3" s="58"/>
      <c r="D3" s="58"/>
      <c r="E3" s="2" t="s">
        <v>2</v>
      </c>
      <c r="F3" s="59" t="s">
        <v>17</v>
      </c>
      <c r="G3" s="59"/>
      <c r="H3" s="59"/>
      <c r="I3" s="59"/>
      <c r="J3" s="59"/>
      <c r="K3" s="59"/>
      <c r="L3" s="59"/>
      <c r="M3" s="59"/>
      <c r="N3" s="59"/>
      <c r="O3" s="59"/>
      <c r="P3" s="60" t="s">
        <v>18</v>
      </c>
      <c r="Q3" s="60"/>
      <c r="R3" s="10"/>
      <c r="S3" s="10"/>
      <c r="T3" s="5"/>
      <c r="U3" s="32" t="s">
        <v>5</v>
      </c>
      <c r="V3" s="45"/>
      <c r="W3" s="45"/>
      <c r="X3" s="45"/>
      <c r="Y3" s="2" t="s">
        <v>2</v>
      </c>
      <c r="Z3" s="46">
        <f>'1'!F12</f>
        <v>0</v>
      </c>
      <c r="AA3" s="46"/>
      <c r="AB3" s="46"/>
      <c r="AC3" s="46"/>
      <c r="AD3" s="46"/>
      <c r="AE3" s="46"/>
      <c r="AF3" s="46"/>
      <c r="AG3" s="46"/>
      <c r="AH3" s="46"/>
      <c r="AI3" s="47"/>
    </row>
    <row r="4" spans="1:35" x14ac:dyDescent="0.4">
      <c r="A4" s="25" t="s">
        <v>6</v>
      </c>
      <c r="B4" s="58"/>
      <c r="C4" s="58"/>
      <c r="D4" s="58"/>
      <c r="E4" s="2" t="s">
        <v>2</v>
      </c>
      <c r="F4" s="63">
        <f>'1'!I12</f>
        <v>0</v>
      </c>
      <c r="G4" s="63"/>
      <c r="H4" s="63"/>
      <c r="I4" s="63"/>
      <c r="J4" s="63"/>
      <c r="K4" s="63"/>
      <c r="L4" s="63"/>
      <c r="M4" s="64"/>
      <c r="N4" s="64"/>
      <c r="O4" s="64"/>
      <c r="P4" s="64"/>
      <c r="Q4" s="64"/>
      <c r="R4" s="64"/>
      <c r="S4" s="64"/>
      <c r="T4" s="65"/>
      <c r="U4" s="32" t="s">
        <v>7</v>
      </c>
      <c r="V4" s="45"/>
      <c r="W4" s="45"/>
      <c r="X4" s="45"/>
      <c r="Y4" s="2" t="s">
        <v>2</v>
      </c>
      <c r="Z4" s="61">
        <f>'1'!G12</f>
        <v>0</v>
      </c>
      <c r="AA4" s="61"/>
      <c r="AB4" s="61"/>
      <c r="AC4" s="61"/>
      <c r="AD4" s="61"/>
      <c r="AE4" s="61"/>
      <c r="AF4" s="61"/>
      <c r="AG4" s="61"/>
      <c r="AH4" s="61"/>
      <c r="AI4" s="62"/>
    </row>
    <row r="5" spans="1:35" x14ac:dyDescent="0.4">
      <c r="A5" s="25" t="s">
        <v>8</v>
      </c>
      <c r="B5" s="26"/>
      <c r="C5" s="26"/>
      <c r="D5" s="26"/>
      <c r="E5" s="2" t="s">
        <v>2</v>
      </c>
      <c r="F5" s="27">
        <f ca="1">TODAY()</f>
        <v>44694</v>
      </c>
      <c r="G5" s="27"/>
      <c r="H5" s="27"/>
      <c r="I5" s="27"/>
      <c r="J5" s="27"/>
      <c r="K5" s="27"/>
      <c r="L5" s="12" t="s">
        <v>9</v>
      </c>
      <c r="M5" s="28">
        <f ca="1">TODAY()</f>
        <v>44694</v>
      </c>
      <c r="N5" s="29"/>
      <c r="O5" s="12" t="s">
        <v>10</v>
      </c>
      <c r="P5" s="30">
        <f ca="1">TODAY()</f>
        <v>44694</v>
      </c>
      <c r="Q5" s="31"/>
      <c r="R5" s="7" t="s">
        <v>11</v>
      </c>
      <c r="S5" s="11"/>
      <c r="T5" s="9"/>
      <c r="U5" s="32" t="s">
        <v>12</v>
      </c>
      <c r="V5" s="33"/>
      <c r="W5" s="33"/>
      <c r="X5" s="33"/>
      <c r="Y5" s="2" t="s">
        <v>2</v>
      </c>
      <c r="Z5" s="34">
        <f>'1'!H12</f>
        <v>0</v>
      </c>
      <c r="AA5" s="35"/>
      <c r="AB5" s="35"/>
      <c r="AC5" s="35"/>
      <c r="AD5" s="35"/>
      <c r="AE5" s="35"/>
      <c r="AF5" s="35"/>
      <c r="AG5" s="35"/>
      <c r="AH5" s="35"/>
      <c r="AI5" s="36"/>
    </row>
    <row r="6" spans="1:35" x14ac:dyDescent="0.4">
      <c r="A6" s="37" t="s">
        <v>13</v>
      </c>
      <c r="B6" s="38"/>
      <c r="C6" s="38"/>
      <c r="D6" s="38"/>
      <c r="E6" s="38" t="s">
        <v>2</v>
      </c>
      <c r="F6" s="41" t="s">
        <v>14</v>
      </c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3" t="s">
        <v>15</v>
      </c>
      <c r="V6" s="43"/>
      <c r="W6" s="43"/>
      <c r="X6" s="37"/>
      <c r="Y6" s="38" t="s">
        <v>2</v>
      </c>
      <c r="Z6" s="19"/>
      <c r="AA6" s="20"/>
      <c r="AB6" s="20"/>
      <c r="AC6" s="20"/>
      <c r="AD6" s="20"/>
      <c r="AE6" s="20"/>
      <c r="AF6" s="20"/>
      <c r="AG6" s="20"/>
      <c r="AH6" s="20"/>
      <c r="AI6" s="20"/>
    </row>
    <row r="7" spans="1:35" x14ac:dyDescent="0.4">
      <c r="A7" s="39"/>
      <c r="B7" s="40"/>
      <c r="C7" s="40"/>
      <c r="D7" s="40"/>
      <c r="E7" s="40"/>
      <c r="F7" s="23" t="s">
        <v>16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44"/>
      <c r="V7" s="44"/>
      <c r="W7" s="44"/>
      <c r="X7" s="39"/>
      <c r="Y7" s="40"/>
      <c r="Z7" s="21"/>
      <c r="AA7" s="22"/>
      <c r="AB7" s="22"/>
      <c r="AC7" s="22"/>
      <c r="AD7" s="22"/>
      <c r="AE7" s="22"/>
      <c r="AF7" s="22"/>
      <c r="AG7" s="22"/>
      <c r="AH7" s="22"/>
      <c r="AI7" s="22"/>
    </row>
    <row r="8" spans="1:35" s="14" customFormat="1" x14ac:dyDescent="0.4"/>
    <row r="9" spans="1:35" s="14" customFormat="1" x14ac:dyDescent="0.4"/>
    <row r="10" spans="1:35" s="14" customFormat="1" x14ac:dyDescent="0.4"/>
    <row r="11" spans="1:35" s="14" customFormat="1" x14ac:dyDescent="0.4"/>
    <row r="12" spans="1:35" s="14" customFormat="1" x14ac:dyDescent="0.4"/>
    <row r="13" spans="1:35" s="14" customFormat="1" x14ac:dyDescent="0.4"/>
    <row r="14" spans="1:35" s="14" customFormat="1" x14ac:dyDescent="0.4"/>
    <row r="15" spans="1:35" s="14" customFormat="1" x14ac:dyDescent="0.4"/>
    <row r="18" spans="31:31" x14ac:dyDescent="0.4">
      <c r="AE18" s="1"/>
    </row>
  </sheetData>
  <mergeCells count="28">
    <mergeCell ref="Z6:AI7"/>
    <mergeCell ref="F7:T7"/>
    <mergeCell ref="A5:D5"/>
    <mergeCell ref="F5:K5"/>
    <mergeCell ref="M5:N5"/>
    <mergeCell ref="P5:Q5"/>
    <mergeCell ref="U5:X5"/>
    <mergeCell ref="Z5:AI5"/>
    <mergeCell ref="A6:D7"/>
    <mergeCell ref="E6:E7"/>
    <mergeCell ref="F6:T6"/>
    <mergeCell ref="U6:X7"/>
    <mergeCell ref="Y6:Y7"/>
    <mergeCell ref="A4:D4"/>
    <mergeCell ref="F4:T4"/>
    <mergeCell ref="U4:X4"/>
    <mergeCell ref="Z4:AI4"/>
    <mergeCell ref="A1:AI1"/>
    <mergeCell ref="A2:D2"/>
    <mergeCell ref="F2:O2"/>
    <mergeCell ref="P2:S2"/>
    <mergeCell ref="U2:X2"/>
    <mergeCell ref="Z2:AI2"/>
    <mergeCell ref="A3:D3"/>
    <mergeCell ref="F3:O3"/>
    <mergeCell ref="P3:Q3"/>
    <mergeCell ref="U3:X3"/>
    <mergeCell ref="Z3:AI3"/>
  </mergeCells>
  <phoneticPr fontId="2"/>
  <pageMargins left="0.7" right="0.7" top="0.75" bottom="0.75" header="0.3" footer="0.3"/>
  <pageSetup paperSize="9" orientation="portrait" horizontalDpi="4294967294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4BAC7-3758-4059-B7EA-61167C7E7BE7}">
  <sheetPr codeName="Sheet5"/>
  <dimension ref="A1:AI18"/>
  <sheetViews>
    <sheetView workbookViewId="0">
      <selection activeCell="AH13" sqref="AH13"/>
    </sheetView>
  </sheetViews>
  <sheetFormatPr defaultRowHeight="18.75" x14ac:dyDescent="0.4"/>
  <cols>
    <col min="1" max="19" width="2.125" customWidth="1"/>
    <col min="20" max="20" width="2" customWidth="1"/>
    <col min="21" max="35" width="2.125" customWidth="1"/>
    <col min="36" max="36" width="6.5" customWidth="1"/>
  </cols>
  <sheetData>
    <row r="1" spans="1:35" ht="21" x14ac:dyDescent="0.4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1"/>
    </row>
    <row r="2" spans="1:35" x14ac:dyDescent="0.4">
      <c r="A2" s="25" t="s">
        <v>1</v>
      </c>
      <c r="B2" s="52"/>
      <c r="C2" s="52"/>
      <c r="D2" s="52"/>
      <c r="E2" s="2" t="s">
        <v>2</v>
      </c>
      <c r="F2" s="53">
        <f>'1'!M13</f>
        <v>0</v>
      </c>
      <c r="G2" s="54"/>
      <c r="H2" s="54"/>
      <c r="I2" s="54"/>
      <c r="J2" s="54"/>
      <c r="K2" s="54"/>
      <c r="L2" s="54"/>
      <c r="M2" s="54"/>
      <c r="N2" s="54"/>
      <c r="O2" s="54"/>
      <c r="P2" s="55" t="str">
        <f>'1'!N13&amp;"様"</f>
        <v>様</v>
      </c>
      <c r="Q2" s="55"/>
      <c r="R2" s="55"/>
      <c r="S2" s="55"/>
      <c r="T2" s="3"/>
      <c r="U2" s="32" t="s">
        <v>3</v>
      </c>
      <c r="V2" s="45"/>
      <c r="W2" s="45"/>
      <c r="X2" s="45"/>
      <c r="Y2" s="2" t="s">
        <v>2</v>
      </c>
      <c r="Z2" s="56">
        <f>'1'!B13</f>
        <v>0</v>
      </c>
      <c r="AA2" s="56"/>
      <c r="AB2" s="56"/>
      <c r="AC2" s="56"/>
      <c r="AD2" s="56"/>
      <c r="AE2" s="56"/>
      <c r="AF2" s="56"/>
      <c r="AG2" s="56"/>
      <c r="AH2" s="56"/>
      <c r="AI2" s="57"/>
    </row>
    <row r="3" spans="1:35" x14ac:dyDescent="0.4">
      <c r="A3" s="25" t="s">
        <v>4</v>
      </c>
      <c r="B3" s="58"/>
      <c r="C3" s="58"/>
      <c r="D3" s="58"/>
      <c r="E3" s="2" t="s">
        <v>2</v>
      </c>
      <c r="F3" s="59" t="s">
        <v>17</v>
      </c>
      <c r="G3" s="59"/>
      <c r="H3" s="59"/>
      <c r="I3" s="59"/>
      <c r="J3" s="59"/>
      <c r="K3" s="59"/>
      <c r="L3" s="59"/>
      <c r="M3" s="59"/>
      <c r="N3" s="59"/>
      <c r="O3" s="59"/>
      <c r="P3" s="60" t="s">
        <v>18</v>
      </c>
      <c r="Q3" s="60"/>
      <c r="R3" s="10"/>
      <c r="S3" s="10"/>
      <c r="T3" s="5"/>
      <c r="U3" s="32" t="s">
        <v>5</v>
      </c>
      <c r="V3" s="45"/>
      <c r="W3" s="45"/>
      <c r="X3" s="45"/>
      <c r="Y3" s="2" t="s">
        <v>2</v>
      </c>
      <c r="Z3" s="46">
        <f>'1'!F13</f>
        <v>0</v>
      </c>
      <c r="AA3" s="46"/>
      <c r="AB3" s="46"/>
      <c r="AC3" s="46"/>
      <c r="AD3" s="46"/>
      <c r="AE3" s="46"/>
      <c r="AF3" s="46"/>
      <c r="AG3" s="46"/>
      <c r="AH3" s="46"/>
      <c r="AI3" s="47"/>
    </row>
    <row r="4" spans="1:35" x14ac:dyDescent="0.4">
      <c r="A4" s="25" t="s">
        <v>6</v>
      </c>
      <c r="B4" s="58"/>
      <c r="C4" s="58"/>
      <c r="D4" s="58"/>
      <c r="E4" s="2" t="s">
        <v>2</v>
      </c>
      <c r="F4" s="63">
        <f>'1'!I13</f>
        <v>0</v>
      </c>
      <c r="G4" s="63"/>
      <c r="H4" s="63"/>
      <c r="I4" s="63"/>
      <c r="J4" s="63"/>
      <c r="K4" s="63"/>
      <c r="L4" s="63"/>
      <c r="M4" s="64"/>
      <c r="N4" s="64"/>
      <c r="O4" s="64"/>
      <c r="P4" s="64"/>
      <c r="Q4" s="64"/>
      <c r="R4" s="64"/>
      <c r="S4" s="64"/>
      <c r="T4" s="65"/>
      <c r="U4" s="32" t="s">
        <v>7</v>
      </c>
      <c r="V4" s="45"/>
      <c r="W4" s="45"/>
      <c r="X4" s="45"/>
      <c r="Y4" s="2" t="s">
        <v>2</v>
      </c>
      <c r="Z4" s="61">
        <f>'1'!G13</f>
        <v>0</v>
      </c>
      <c r="AA4" s="61"/>
      <c r="AB4" s="61"/>
      <c r="AC4" s="61"/>
      <c r="AD4" s="61"/>
      <c r="AE4" s="61"/>
      <c r="AF4" s="61"/>
      <c r="AG4" s="61"/>
      <c r="AH4" s="61"/>
      <c r="AI4" s="62"/>
    </row>
    <row r="5" spans="1:35" x14ac:dyDescent="0.4">
      <c r="A5" s="25" t="s">
        <v>8</v>
      </c>
      <c r="B5" s="26"/>
      <c r="C5" s="26"/>
      <c r="D5" s="26"/>
      <c r="E5" s="2" t="s">
        <v>2</v>
      </c>
      <c r="F5" s="27">
        <f ca="1">TODAY()</f>
        <v>44694</v>
      </c>
      <c r="G5" s="27"/>
      <c r="H5" s="27"/>
      <c r="I5" s="27"/>
      <c r="J5" s="27"/>
      <c r="K5" s="27"/>
      <c r="L5" s="12" t="s">
        <v>9</v>
      </c>
      <c r="M5" s="28">
        <f ca="1">TODAY()</f>
        <v>44694</v>
      </c>
      <c r="N5" s="29"/>
      <c r="O5" s="12" t="s">
        <v>10</v>
      </c>
      <c r="P5" s="30">
        <f ca="1">TODAY()</f>
        <v>44694</v>
      </c>
      <c r="Q5" s="31"/>
      <c r="R5" s="7" t="s">
        <v>11</v>
      </c>
      <c r="S5" s="11"/>
      <c r="T5" s="9"/>
      <c r="U5" s="32" t="s">
        <v>12</v>
      </c>
      <c r="V5" s="33"/>
      <c r="W5" s="33"/>
      <c r="X5" s="33"/>
      <c r="Y5" s="2" t="s">
        <v>2</v>
      </c>
      <c r="Z5" s="34">
        <f>'1'!H13</f>
        <v>0</v>
      </c>
      <c r="AA5" s="35"/>
      <c r="AB5" s="35"/>
      <c r="AC5" s="35"/>
      <c r="AD5" s="35"/>
      <c r="AE5" s="35"/>
      <c r="AF5" s="35"/>
      <c r="AG5" s="35"/>
      <c r="AH5" s="35"/>
      <c r="AI5" s="36"/>
    </row>
    <row r="6" spans="1:35" x14ac:dyDescent="0.4">
      <c r="A6" s="37" t="s">
        <v>13</v>
      </c>
      <c r="B6" s="38"/>
      <c r="C6" s="38"/>
      <c r="D6" s="38"/>
      <c r="E6" s="38" t="s">
        <v>2</v>
      </c>
      <c r="F6" s="41" t="s">
        <v>14</v>
      </c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3" t="s">
        <v>15</v>
      </c>
      <c r="V6" s="43"/>
      <c r="W6" s="43"/>
      <c r="X6" s="37"/>
      <c r="Y6" s="38" t="s">
        <v>2</v>
      </c>
      <c r="Z6" s="19"/>
      <c r="AA6" s="20"/>
      <c r="AB6" s="20"/>
      <c r="AC6" s="20"/>
      <c r="AD6" s="20"/>
      <c r="AE6" s="20"/>
      <c r="AF6" s="20"/>
      <c r="AG6" s="20"/>
      <c r="AH6" s="20"/>
      <c r="AI6" s="20"/>
    </row>
    <row r="7" spans="1:35" x14ac:dyDescent="0.4">
      <c r="A7" s="39"/>
      <c r="B7" s="40"/>
      <c r="C7" s="40"/>
      <c r="D7" s="40"/>
      <c r="E7" s="40"/>
      <c r="F7" s="23" t="s">
        <v>16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44"/>
      <c r="V7" s="44"/>
      <c r="W7" s="44"/>
      <c r="X7" s="39"/>
      <c r="Y7" s="40"/>
      <c r="Z7" s="21"/>
      <c r="AA7" s="22"/>
      <c r="AB7" s="22"/>
      <c r="AC7" s="22"/>
      <c r="AD7" s="22"/>
      <c r="AE7" s="22"/>
      <c r="AF7" s="22"/>
      <c r="AG7" s="22"/>
      <c r="AH7" s="22"/>
      <c r="AI7" s="22"/>
    </row>
    <row r="8" spans="1:35" s="14" customFormat="1" x14ac:dyDescent="0.4"/>
    <row r="9" spans="1:35" s="14" customFormat="1" x14ac:dyDescent="0.4"/>
    <row r="10" spans="1:35" s="14" customFormat="1" x14ac:dyDescent="0.4"/>
    <row r="11" spans="1:35" s="14" customFormat="1" x14ac:dyDescent="0.4"/>
    <row r="12" spans="1:35" s="14" customFormat="1" x14ac:dyDescent="0.4"/>
    <row r="13" spans="1:35" s="14" customFormat="1" x14ac:dyDescent="0.4"/>
    <row r="14" spans="1:35" s="14" customFormat="1" x14ac:dyDescent="0.4"/>
    <row r="15" spans="1:35" s="14" customFormat="1" x14ac:dyDescent="0.4"/>
    <row r="18" spans="31:31" x14ac:dyDescent="0.4">
      <c r="AE18" s="1"/>
    </row>
  </sheetData>
  <mergeCells count="28">
    <mergeCell ref="Z6:AI7"/>
    <mergeCell ref="F7:T7"/>
    <mergeCell ref="A5:D5"/>
    <mergeCell ref="F5:K5"/>
    <mergeCell ref="M5:N5"/>
    <mergeCell ref="P5:Q5"/>
    <mergeCell ref="U5:X5"/>
    <mergeCell ref="Z5:AI5"/>
    <mergeCell ref="A6:D7"/>
    <mergeCell ref="E6:E7"/>
    <mergeCell ref="F6:T6"/>
    <mergeCell ref="U6:X7"/>
    <mergeCell ref="Y6:Y7"/>
    <mergeCell ref="A4:D4"/>
    <mergeCell ref="F4:T4"/>
    <mergeCell ref="U4:X4"/>
    <mergeCell ref="Z4:AI4"/>
    <mergeCell ref="A1:AI1"/>
    <mergeCell ref="A2:D2"/>
    <mergeCell ref="F2:O2"/>
    <mergeCell ref="P2:S2"/>
    <mergeCell ref="U2:X2"/>
    <mergeCell ref="Z2:AI2"/>
    <mergeCell ref="A3:D3"/>
    <mergeCell ref="F3:O3"/>
    <mergeCell ref="P3:Q3"/>
    <mergeCell ref="U3:X3"/>
    <mergeCell ref="Z3:AI3"/>
  </mergeCells>
  <phoneticPr fontId="2"/>
  <pageMargins left="0.7" right="0.7" top="0.75" bottom="0.75" header="0.3" footer="0.3"/>
  <pageSetup paperSize="9" orientation="portrait" horizontalDpi="4294967294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1</vt:lpstr>
      <vt:lpstr>2</vt:lpstr>
      <vt:lpstr>3</vt:lpstr>
      <vt:lpstr>4</vt:lpstr>
      <vt:lpstr>5</vt:lpstr>
      <vt:lpstr>'1'!Print_Area</vt:lpstr>
      <vt:lpstr>'2'!Print_Area</vt:lpstr>
      <vt:lpstr>'3'!Print_Area</vt:lpstr>
      <vt:lpstr>'4'!Print_Area</vt:lpstr>
      <vt:lpstr>'5'!Print_Area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下口 公子</dc:creator>
  <cp:lastModifiedBy>村上 肇</cp:lastModifiedBy>
  <cp:lastPrinted>2022-05-13T08:07:44Z</cp:lastPrinted>
  <dcterms:created xsi:type="dcterms:W3CDTF">2021-10-28T04:43:32Z</dcterms:created>
  <dcterms:modified xsi:type="dcterms:W3CDTF">2022-05-13T08:59:13Z</dcterms:modified>
</cp:coreProperties>
</file>